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ahmen" sheetId="1" state="visible" r:id="rId1"/>
    <sheet xmlns:r="http://schemas.openxmlformats.org/officeDocument/2006/relationships" name="Budgetvarianten" sheetId="2" state="visible" r:id="rId2"/>
    <sheet xmlns:r="http://schemas.openxmlformats.org/officeDocument/2006/relationships" name="Programmzuordnung" sheetId="3" state="visible" r:id="rId3"/>
    <sheet xmlns:r="http://schemas.openxmlformats.org/officeDocument/2006/relationships" name="Prüfgates" sheetId="4" state="visible" r:id="rId4"/>
  </sheets>
  <definedNames>
    <definedName name="_xlnm._FilterDatabase" localSheetId="1" hidden="1">'Budgetvarianten'!$A$1:$E$13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4445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9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65" customWidth="1" min="3" max="3"/>
  </cols>
  <sheetData>
    <row r="1">
      <c r="A1" s="1" t="inlineStr">
        <is>
          <t>Eingabe</t>
        </is>
      </c>
      <c r="B1" s="1" t="inlineStr">
        <is>
          <t>Wert</t>
        </is>
      </c>
      <c r="C1" s="1" t="inlineStr">
        <is>
          <t>Hinweis</t>
        </is>
      </c>
    </row>
    <row r="2">
      <c r="A2" s="2" t="inlineStr">
        <is>
          <t>Monatsbrutto Vollzeit Thomas</t>
        </is>
      </c>
      <c r="B2" s="3" t="n">
        <v>4500</v>
      </c>
      <c r="C2" s="2" t="inlineStr">
        <is>
          <t>Arbeitsannahme; durch WE AID und Thomas ersetzen</t>
        </is>
      </c>
    </row>
    <row r="3">
      <c r="A3" s="2" t="inlineStr">
        <is>
          <t>Arbeitgeberaufschlag</t>
        </is>
      </c>
      <c r="B3" s="4" t="n">
        <v>0.23</v>
      </c>
      <c r="C3" s="2" t="inlineStr">
        <is>
          <t>Arbeitsannahme; echte Lohnnebenkosten einsetzen</t>
        </is>
      </c>
    </row>
    <row r="4">
      <c r="A4" s="2" t="inlineStr">
        <is>
          <t>Stellenanteil</t>
        </is>
      </c>
      <c r="B4" s="5" t="n">
        <v>0.6</v>
      </c>
      <c r="C4" s="2" t="inlineStr">
        <is>
          <t>Planvorgabe</t>
        </is>
      </c>
    </row>
    <row r="5">
      <c r="A5" s="2" t="inlineStr">
        <is>
          <t>Projektmonate</t>
        </is>
      </c>
      <c r="B5" s="6" t="n">
        <v>10</v>
      </c>
      <c r="C5" s="2" t="inlineStr">
        <is>
          <t>bpb 01.03.–31.12.2027; für Mercator auf 12 oder 18 ändern</t>
        </is>
      </c>
    </row>
    <row r="6">
      <c r="A6" s="2" t="inlineStr">
        <is>
          <t>WE-AID-Anteil</t>
        </is>
      </c>
      <c r="B6" s="4" t="n">
        <v>0.07000000000000001</v>
      </c>
      <c r="C6" s="2" t="inlineStr">
        <is>
          <t>Förderfähigkeit und Berechnungsbasis schriftlich klären</t>
        </is>
      </c>
    </row>
    <row r="7">
      <c r="A7" s="2" t="inlineStr">
        <is>
          <t>Bestätigte Kofinanzierung</t>
        </is>
      </c>
      <c r="B7" s="3" t="n">
        <v>0</v>
      </c>
      <c r="C7" s="2" t="inlineStr">
        <is>
          <t>Nur schriftlich bestätigte liquide Mittel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62" customWidth="1" min="5" max="5"/>
  </cols>
  <sheetData>
    <row r="1">
      <c r="A1" s="1" t="inlineStr">
        <is>
          <t>Kostenblock</t>
        </is>
      </c>
      <c r="B1" s="1" t="inlineStr">
        <is>
          <t>Schlank</t>
        </is>
      </c>
      <c r="C1" s="1" t="inlineStr">
        <is>
          <t>Kern</t>
        </is>
      </c>
      <c r="D1" s="1" t="inlineStr">
        <is>
          <t>Voll</t>
        </is>
      </c>
      <c r="E1" s="1" t="inlineStr">
        <is>
          <t>Gate</t>
        </is>
      </c>
    </row>
    <row r="2">
      <c r="A2" s="2" t="inlineStr">
        <is>
          <t>Thomas, 60%-Projektstelle inkl. AG-Kosten</t>
        </is>
      </c>
      <c r="B2" s="7">
        <f>Annahmen!B2*Annahmen!B4*Annahmen!B5*(1+Annahmen!B3)</f>
        <v/>
      </c>
      <c r="C2" s="7">
        <f>B2</f>
        <v/>
      </c>
      <c r="D2" s="7">
        <f>B2</f>
        <v/>
      </c>
      <c r="E2" s="2" t="inlineStr">
        <is>
          <t>Neuer Projektvertrag; ALG I vorher schriftlich klären</t>
        </is>
      </c>
    </row>
    <row r="3">
      <c r="A3" s="2" t="inlineStr">
        <is>
          <t>Zielgruppenpartner</t>
        </is>
      </c>
      <c r="B3" s="7" t="n">
        <v>5000</v>
      </c>
      <c r="C3" s="7" t="n">
        <v>7500</v>
      </c>
      <c r="D3" s="7" t="n">
        <v>10000</v>
      </c>
      <c r="E3" s="2" t="inlineStr">
        <is>
          <t>Rollenbrief und Angebote</t>
        </is>
      </c>
    </row>
    <row r="4">
      <c r="A4" s="2" t="inlineStr">
        <is>
          <t>Evaluation</t>
        </is>
      </c>
      <c r="B4" s="7" t="n">
        <v>4000</v>
      </c>
      <c r="C4" s="7" t="n">
        <v>8000</v>
      </c>
      <c r="D4" s="7" t="n">
        <v>12000</v>
      </c>
      <c r="E4" s="2" t="inlineStr">
        <is>
          <t>Unabhängigkeit und Datenschutz</t>
        </is>
      </c>
    </row>
    <row r="5">
      <c r="A5" s="2" t="inlineStr">
        <is>
          <t>Kontrollierte Reichweitentests</t>
        </is>
      </c>
      <c r="B5" s="7" t="n">
        <v>2000</v>
      </c>
      <c r="C5" s="7" t="n">
        <v>5000</v>
      </c>
      <c r="D5" s="7" t="n">
        <v>8000</v>
      </c>
      <c r="E5" s="2" t="inlineStr">
        <is>
          <t>Kein Microtargeting; Förderfähigkeit bestätigen</t>
        </is>
      </c>
    </row>
    <row r="6">
      <c r="A6" s="2" t="inlineStr">
        <is>
          <t>Infrastruktur und Barrierefreiheit</t>
        </is>
      </c>
      <c r="B6" s="7" t="n">
        <v>3000</v>
      </c>
      <c r="C6" s="7" t="n">
        <v>5000</v>
      </c>
      <c r="D6" s="7" t="n">
        <v>8000</v>
      </c>
      <c r="E6" s="2" t="inlineStr">
        <is>
          <t>Nur projektbezogene Mehrkosten</t>
        </is>
      </c>
    </row>
    <row r="7">
      <c r="A7" s="2" t="inlineStr">
        <is>
          <t>Veranstaltungen und Materialien</t>
        </is>
      </c>
      <c r="B7" s="7" t="n">
        <v>2000</v>
      </c>
      <c r="C7" s="7" t="n">
        <v>4000</v>
      </c>
      <c r="D7" s="7" t="n">
        <v>6000</v>
      </c>
      <c r="E7" s="2" t="inlineStr">
        <is>
          <t>Programmregeln und Angebote</t>
        </is>
      </c>
    </row>
    <row r="8">
      <c r="A8" s="2" t="inlineStr">
        <is>
          <t>Reisekosten</t>
        </is>
      </c>
      <c r="B8" s="7" t="n">
        <v>1000</v>
      </c>
      <c r="C8" s="7" t="n">
        <v>2000</v>
      </c>
      <c r="D8" s="7" t="n">
        <v>3000</v>
      </c>
      <c r="E8" s="2" t="inlineStr">
        <is>
          <t>Förderrichtlinie anwenden</t>
        </is>
      </c>
    </row>
    <row r="9">
      <c r="A9" s="8" t="inlineStr">
        <is>
          <t>Zwischensumme direkte Kosten</t>
        </is>
      </c>
      <c r="B9" s="9">
        <f>SUM(B2:B8)</f>
        <v/>
      </c>
      <c r="C9" s="9">
        <f>SUM(C2:C8)</f>
        <v/>
      </c>
      <c r="D9" s="9">
        <f>SUM(D2:D8)</f>
        <v/>
      </c>
      <c r="E9" s="8" t="inlineStr"/>
    </row>
    <row r="10">
      <c r="A10" s="2" t="inlineStr">
        <is>
          <t>WE AID</t>
        </is>
      </c>
      <c r="B10" s="7">
        <f>B9*Annahmen!B6</f>
        <v/>
      </c>
      <c r="C10" s="7">
        <f>C9*Annahmen!B6</f>
        <v/>
      </c>
      <c r="D10" s="7">
        <f>D9*Annahmen!B6</f>
        <v/>
      </c>
      <c r="E10" s="2" t="inlineStr">
        <is>
          <t>Basis und Förderfähigkeit klären</t>
        </is>
      </c>
    </row>
    <row r="11">
      <c r="A11" s="8" t="inlineStr">
        <is>
          <t>Gesamtausgaben</t>
        </is>
      </c>
      <c r="B11" s="9">
        <f>SUM(B9:B10)</f>
        <v/>
      </c>
      <c r="C11" s="9">
        <f>SUM(C9:C10)</f>
        <v/>
      </c>
      <c r="D11" s="9">
        <f>SUM(D9:D10)</f>
        <v/>
      </c>
      <c r="E11" s="8" t="inlineStr"/>
    </row>
    <row r="12">
      <c r="A12" s="2" t="inlineStr">
        <is>
          <t>Bestätigte Kofinanzierung</t>
        </is>
      </c>
      <c r="B12" s="7">
        <f>Annahmen!B7</f>
        <v/>
      </c>
      <c r="C12" s="7">
        <f>Annahmen!B7</f>
        <v/>
      </c>
      <c r="D12" s="7">
        <f>Annahmen!B7</f>
        <v/>
      </c>
      <c r="E12" s="2" t="inlineStr">
        <is>
          <t>Keine Eigenleistung oder private Kredite</t>
        </is>
      </c>
    </row>
    <row r="13">
      <c r="A13" s="8" t="inlineStr">
        <is>
          <t>Beantragter Förderbedarf</t>
        </is>
      </c>
      <c r="B13" s="9">
        <f>B11-B12</f>
        <v/>
      </c>
      <c r="C13" s="9">
        <f>C11-C12</f>
        <v/>
      </c>
      <c r="D13" s="9">
        <f>D11-D12</f>
        <v/>
      </c>
      <c r="E13" s="8" t="inlineStr">
        <is>
          <t>Vor Einreichung auf Programmgrenze anpassen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82" customWidth="1" min="3" max="3"/>
  </cols>
  <sheetData>
    <row r="1">
      <c r="A1" s="1" t="inlineStr">
        <is>
          <t>Programm</t>
        </is>
      </c>
      <c r="B1" s="1" t="inlineStr">
        <is>
          <t>Budget verwenden?</t>
        </is>
      </c>
      <c r="C1" s="1" t="inlineStr">
        <is>
          <t>Regel</t>
        </is>
      </c>
    </row>
    <row r="2">
      <c r="A2" s="2" t="inlineStr">
        <is>
          <t>bpb-Modellförderung</t>
        </is>
      </c>
      <c r="B2" s="2" t="inlineStr">
        <is>
          <t>Ja, nach Richtlinienprüfung</t>
        </is>
      </c>
      <c r="C2" s="2" t="inlineStr">
        <is>
          <t>Offiziellen Ausgaben-/Finanzierungsplan verwenden; Werbe- und Verwaltungskosten bestätigen</t>
        </is>
      </c>
    </row>
    <row r="3">
      <c r="A3" s="2" t="inlineStr">
        <is>
          <t>Stiftung Mercator</t>
        </is>
      </c>
      <c r="B3" s="2" t="inlineStr">
        <is>
          <t>Ja, als Alternative</t>
        </is>
      </c>
      <c r="C3" s="2" t="inlineStr">
        <is>
          <t>Keine identischen Kosten zugleich mit bpb finanzieren</t>
        </is>
      </c>
    </row>
    <row r="4">
      <c r="A4" s="2" t="inlineStr">
        <is>
          <t>Fast Forward</t>
        </is>
      </c>
      <c r="B4" s="2" t="inlineStr">
        <is>
          <t>Nein</t>
        </is>
      </c>
      <c r="C4" s="2" t="inlineStr">
        <is>
          <t>Unrestricted grant; eigene USD-Finanzangaben im Formular</t>
        </is>
      </c>
    </row>
    <row r="5">
      <c r="A5" s="2" t="inlineStr">
        <is>
          <t>Erasmus+ Jugendpartizipation</t>
        </is>
      </c>
      <c r="B5" s="2" t="inlineStr">
        <is>
          <t>Nein</t>
        </is>
      </c>
      <c r="C5" s="2" t="inlineStr">
        <is>
          <t>Ausschließlich aktuelle Pauschalen verwenden</t>
        </is>
      </c>
    </row>
    <row r="6">
      <c r="A6" s="2" t="inlineStr">
        <is>
          <t>Bremer Kleinförderung</t>
        </is>
      </c>
      <c r="B6" s="2" t="inlineStr">
        <is>
          <t>Nein</t>
        </is>
      </c>
      <c r="C6" s="2" t="inlineStr">
        <is>
          <t>Eigenes Maximalbudget von 3.500 Euro</t>
        </is>
      </c>
    </row>
    <row r="7">
      <c r="A7" s="2" t="inlineStr">
        <is>
          <t>Shuttleworth</t>
        </is>
      </c>
      <c r="B7" s="2" t="inlineStr">
        <is>
          <t>Nein</t>
        </is>
      </c>
      <c r="C7" s="2" t="inlineStr">
        <is>
          <t>Geschlossen; kein Intake 2026/2027</t>
        </is>
      </c>
    </row>
    <row r="8">
      <c r="A8" s="2" t="inlineStr">
        <is>
          <t>NLnet</t>
        </is>
      </c>
      <c r="B8" s="2" t="inlineStr">
        <is>
          <t>Nein</t>
        </is>
      </c>
      <c r="C8" s="2" t="inlineStr">
        <is>
          <t>Nur technischer Open-Source-Scope; Thomas schreibt selbst</t>
        </is>
      </c>
    </row>
    <row r="9">
      <c r="A9" s="2" t="inlineStr">
        <is>
          <t>Hans-Böckler-Solidaritätsfonds</t>
        </is>
      </c>
      <c r="B9" s="2" t="inlineStr">
        <is>
          <t>Nein</t>
        </is>
      </c>
      <c r="C9" s="2" t="inlineStr">
        <is>
          <t>Keine Personal- oder Honorarkosten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56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Nachweis</t>
        </is>
      </c>
    </row>
    <row r="2">
      <c r="A2" s="2" t="inlineStr">
        <is>
          <t>WE AID ist echter Zuwendungsempfänger</t>
        </is>
      </c>
      <c r="B2" s="6" t="inlineStr">
        <is>
          <t>offen</t>
        </is>
      </c>
      <c r="C2" s="2" t="inlineStr">
        <is>
          <t>schriftliche Bestätigung</t>
        </is>
      </c>
    </row>
    <row r="3">
      <c r="A3" s="2" t="inlineStr">
        <is>
          <t>Thomas-Vergütung förderfähig</t>
        </is>
      </c>
      <c r="B3" s="6" t="inlineStr">
        <is>
          <t>offen</t>
        </is>
      </c>
      <c r="C3" s="2" t="inlineStr">
        <is>
          <t>Förderer und WE AID</t>
        </is>
      </c>
    </row>
    <row r="4">
      <c r="A4" s="2" t="inlineStr">
        <is>
          <t>Arbeitgeberkosten belastbar</t>
        </is>
      </c>
      <c r="B4" s="6" t="inlineStr">
        <is>
          <t>offen</t>
        </is>
      </c>
      <c r="C4" s="2" t="inlineStr">
        <is>
          <t>Lohnkalkulation WE AID</t>
        </is>
      </c>
    </row>
    <row r="5">
      <c r="A5" s="2" t="inlineStr">
        <is>
          <t>7 Prozent förderfähig</t>
        </is>
      </c>
      <c r="B5" s="6" t="inlineStr">
        <is>
          <t>offen</t>
        </is>
      </c>
      <c r="C5" s="2" t="inlineStr">
        <is>
          <t>Förderer</t>
        </is>
      </c>
    </row>
    <row r="6">
      <c r="A6" s="2" t="inlineStr">
        <is>
          <t>Reichweitentests förderfähig</t>
        </is>
      </c>
      <c r="B6" s="6" t="inlineStr">
        <is>
          <t>offen</t>
        </is>
      </c>
      <c r="C6" s="2" t="inlineStr">
        <is>
          <t>Förderer</t>
        </is>
      </c>
    </row>
    <row r="7">
      <c r="A7" s="2" t="inlineStr">
        <is>
          <t>Kofinanzierung liquide und bestätigt</t>
        </is>
      </c>
      <c r="B7" s="6" t="inlineStr">
        <is>
          <t>offen</t>
        </is>
      </c>
      <c r="C7" s="2" t="inlineStr">
        <is>
          <t>Konto/Spendenzusage</t>
        </is>
      </c>
    </row>
    <row r="8">
      <c r="A8" s="2" t="inlineStr">
        <is>
          <t>Keine Doppelförderung</t>
        </is>
      </c>
      <c r="B8" s="6" t="inlineStr">
        <is>
          <t>offen</t>
        </is>
      </c>
      <c r="C8" s="2" t="inlineStr">
        <is>
          <t>finale Kostenstellenzuordnung</t>
        </is>
      </c>
    </row>
    <row r="9">
      <c r="A9" s="2" t="inlineStr">
        <is>
          <t>Kein privater Liquiditätsbedarf</t>
        </is>
      </c>
      <c r="B9" s="6" t="inlineStr">
        <is>
          <t>offen</t>
        </is>
      </c>
      <c r="C9" s="2" t="inlineStr">
        <is>
          <t>Abschlags-/Zahlungsplan</t>
        </is>
      </c>
    </row>
    <row r="10">
      <c r="A10" s="2" t="inlineStr">
        <is>
          <t>ALG-I-Übergang geklärt</t>
        </is>
      </c>
      <c r="B10" s="6" t="inlineStr">
        <is>
          <t>offen</t>
        </is>
      </c>
      <c r="C10" s="2" t="inlineStr">
        <is>
          <t>schriftliche Auskunft vor Vertrag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2026-09-04T21:39:44Z</dcterms:created>
  <dcterms:modified xmlns:dcterms="http://purl.org/dc/terms/" xmlns:xsi="http://www.w3.org/2001/XMLSchema-instance" xsi:type="dcterms:W3CDTF">2026-09-04T21:39:44Z</dcterms:modified>
</cp:coreProperties>
</file>